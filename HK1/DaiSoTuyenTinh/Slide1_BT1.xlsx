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uong/Documents/Workplace/UITD/HK1/DaiSoTuyenTinh/"/>
    </mc:Choice>
  </mc:AlternateContent>
  <xr:revisionPtr revIDLastSave="0" documentId="8_{3CDBD234-8561-2946-9AE9-D5331441A0C0}" xr6:coauthVersionLast="45" xr6:coauthVersionMax="45" xr10:uidLastSave="{00000000-0000-0000-0000-000000000000}"/>
  <bookViews>
    <workbookView xWindow="1060" yWindow="960" windowWidth="28040" windowHeight="17440" xr2:uid="{E85B5956-42F9-0C4C-91CE-3C0BCA9C7A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6" i="1" l="1"/>
  <c r="K36" i="1"/>
  <c r="L36" i="1"/>
  <c r="I36" i="1"/>
  <c r="J30" i="1"/>
  <c r="K30" i="1"/>
  <c r="L30" i="1"/>
  <c r="I30" i="1"/>
  <c r="J22" i="1"/>
  <c r="K22" i="1"/>
  <c r="L22" i="1"/>
  <c r="I22" i="1"/>
  <c r="I26" i="1"/>
  <c r="J26" i="1"/>
  <c r="K26" i="1"/>
  <c r="L26" i="1"/>
  <c r="J8" i="1"/>
  <c r="K8" i="1"/>
  <c r="L8" i="1"/>
  <c r="J9" i="1"/>
  <c r="K9" i="1"/>
  <c r="L9" i="1"/>
  <c r="J10" i="1"/>
  <c r="K10" i="1"/>
  <c r="L10" i="1"/>
  <c r="I9" i="1"/>
  <c r="I10" i="1"/>
  <c r="I8" i="1"/>
  <c r="L4" i="1"/>
  <c r="M4" i="1"/>
  <c r="N4" i="1"/>
  <c r="O4" i="1"/>
  <c r="P4" i="1"/>
  <c r="K4" i="1"/>
</calcChain>
</file>

<file path=xl/sharedStrings.xml><?xml version="1.0" encoding="utf-8"?>
<sst xmlns="http://schemas.openxmlformats.org/spreadsheetml/2006/main" count="14" uniqueCount="14">
  <si>
    <t>(2) -&gt; 43(3) - 95(2)</t>
  </si>
  <si>
    <t>VD5</t>
  </si>
  <si>
    <t>VD 1</t>
  </si>
  <si>
    <t>VD 2</t>
  </si>
  <si>
    <t>VD 3</t>
  </si>
  <si>
    <t>(3) -&gt; 519(3)</t>
  </si>
  <si>
    <t>(1) -&gt; 5312(1)</t>
  </si>
  <si>
    <t>(2) &lt;-&gt; (5)</t>
  </si>
  <si>
    <t>VD4</t>
  </si>
  <si>
    <t>(3) -&gt; (3) - 813(2)</t>
  </si>
  <si>
    <t>VD6</t>
  </si>
  <si>
    <t>(1) -&gt; 3(2) - 2(1) + (3)</t>
  </si>
  <si>
    <t>VD7</t>
  </si>
  <si>
    <t>(2) -&gt; 15(2) - 23(3) + 61(1)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</si>
</sst>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6F91-FE5F-6341-BBB7-5DF33A99CE37}">
  <dimension ref="A2:P37"/>
  <sheetViews>
    <sheetView tabSelected="1" workbookViewId="0">
      <selection activeCell="P31" sqref="P31"/>
    </sheetView>
  </sheetViews>
  <sheetFormatPr baseColWidth="10" defaultRowHeight="16" x14ac:dyDescent="0.2"/>
  <cols>
    <col min="7" max="7" width="23.5" customWidth="1"/>
  </cols>
  <sheetData>
    <row r="2" spans="1:16" x14ac:dyDescent="0.2">
      <c r="A2" t="s">
        <v>2</v>
      </c>
      <c r="B2" s="1">
        <v>-2</v>
      </c>
      <c r="C2" s="2">
        <v>3</v>
      </c>
      <c r="D2" s="2">
        <v>-4</v>
      </c>
      <c r="E2" s="2">
        <v>9</v>
      </c>
      <c r="F2" s="2">
        <v>10</v>
      </c>
      <c r="G2" s="3">
        <v>-3</v>
      </c>
      <c r="I2" t="s">
        <v>5</v>
      </c>
      <c r="K2" s="1">
        <v>-2</v>
      </c>
      <c r="L2" s="2">
        <v>3</v>
      </c>
      <c r="M2" s="2">
        <v>-4</v>
      </c>
      <c r="N2" s="2">
        <v>9</v>
      </c>
      <c r="O2" s="2">
        <v>10</v>
      </c>
      <c r="P2" s="3">
        <v>-3</v>
      </c>
    </row>
    <row r="3" spans="1:16" x14ac:dyDescent="0.2">
      <c r="B3" s="4">
        <v>8</v>
      </c>
      <c r="C3" s="5">
        <v>15</v>
      </c>
      <c r="D3" s="5">
        <v>-7</v>
      </c>
      <c r="E3" s="5">
        <v>20</v>
      </c>
      <c r="F3" s="5">
        <v>49</v>
      </c>
      <c r="G3" s="6">
        <v>-65</v>
      </c>
      <c r="K3" s="4">
        <v>8</v>
      </c>
      <c r="L3" s="5">
        <v>15</v>
      </c>
      <c r="M3" s="5">
        <v>-7</v>
      </c>
      <c r="N3" s="5">
        <v>20</v>
      </c>
      <c r="O3" s="5">
        <v>49</v>
      </c>
      <c r="P3" s="6">
        <v>-65</v>
      </c>
    </row>
    <row r="4" spans="1:16" x14ac:dyDescent="0.2">
      <c r="B4" s="4">
        <v>73</v>
      </c>
      <c r="C4" s="5">
        <v>-27</v>
      </c>
      <c r="D4" s="5">
        <v>41</v>
      </c>
      <c r="E4" s="5">
        <v>52</v>
      </c>
      <c r="F4" s="5">
        <v>-39</v>
      </c>
      <c r="G4" s="6">
        <v>15</v>
      </c>
      <c r="K4" s="4">
        <f>B4*519</f>
        <v>37887</v>
      </c>
      <c r="L4" s="5">
        <f>C4*519</f>
        <v>-14013</v>
      </c>
      <c r="M4" s="5">
        <f>D4*519</f>
        <v>21279</v>
      </c>
      <c r="N4" s="5">
        <f>E4*519</f>
        <v>26988</v>
      </c>
      <c r="O4" s="5">
        <f>F4*519</f>
        <v>-20241</v>
      </c>
      <c r="P4" s="6">
        <f>G4*519</f>
        <v>7785</v>
      </c>
    </row>
    <row r="5" spans="1:16" x14ac:dyDescent="0.2">
      <c r="B5" s="7">
        <v>6</v>
      </c>
      <c r="C5" s="8">
        <v>0</v>
      </c>
      <c r="D5" s="8">
        <v>-7</v>
      </c>
      <c r="E5" s="8">
        <v>6</v>
      </c>
      <c r="F5" s="8">
        <v>12</v>
      </c>
      <c r="G5" s="9">
        <v>7</v>
      </c>
      <c r="K5" s="7">
        <v>6</v>
      </c>
      <c r="L5" s="8">
        <v>0</v>
      </c>
      <c r="M5" s="8">
        <v>-7</v>
      </c>
      <c r="N5" s="8">
        <v>6</v>
      </c>
      <c r="O5" s="8">
        <v>12</v>
      </c>
      <c r="P5" s="9">
        <v>7</v>
      </c>
    </row>
    <row r="8" spans="1:16" x14ac:dyDescent="0.2">
      <c r="A8" t="s">
        <v>3</v>
      </c>
      <c r="B8" s="1">
        <v>-51</v>
      </c>
      <c r="C8" s="2">
        <v>17</v>
      </c>
      <c r="D8" s="2">
        <v>98</v>
      </c>
      <c r="E8" s="3">
        <v>23</v>
      </c>
      <c r="G8" t="s">
        <v>6</v>
      </c>
      <c r="I8" s="1">
        <f>B8*5312</f>
        <v>-270912</v>
      </c>
      <c r="J8" s="2">
        <f t="shared" ref="J8:L10" si="0">C8*5312</f>
        <v>90304</v>
      </c>
      <c r="K8" s="2">
        <f t="shared" si="0"/>
        <v>520576</v>
      </c>
      <c r="L8" s="3">
        <f t="shared" si="0"/>
        <v>122176</v>
      </c>
    </row>
    <row r="9" spans="1:16" x14ac:dyDescent="0.2">
      <c r="B9" s="4">
        <v>-18</v>
      </c>
      <c r="C9" s="5">
        <v>-23</v>
      </c>
      <c r="D9" s="5">
        <v>-71</v>
      </c>
      <c r="E9" s="6">
        <v>25</v>
      </c>
      <c r="I9" s="4">
        <f t="shared" ref="I9:I10" si="1">B9*5312</f>
        <v>-95616</v>
      </c>
      <c r="J9" s="5">
        <f t="shared" si="0"/>
        <v>-122176</v>
      </c>
      <c r="K9" s="5">
        <f t="shared" si="0"/>
        <v>-377152</v>
      </c>
      <c r="L9" s="6">
        <f t="shared" si="0"/>
        <v>132800</v>
      </c>
    </row>
    <row r="10" spans="1:16" x14ac:dyDescent="0.2">
      <c r="B10" s="7">
        <v>19</v>
      </c>
      <c r="C10" s="8">
        <v>38</v>
      </c>
      <c r="D10" s="8">
        <v>13</v>
      </c>
      <c r="E10" s="9">
        <v>-173</v>
      </c>
      <c r="I10" s="7">
        <f t="shared" si="1"/>
        <v>100928</v>
      </c>
      <c r="J10" s="8">
        <f t="shared" si="0"/>
        <v>201856</v>
      </c>
      <c r="K10" s="8">
        <f t="shared" si="0"/>
        <v>69056</v>
      </c>
      <c r="L10" s="9">
        <f t="shared" si="0"/>
        <v>-918976</v>
      </c>
    </row>
    <row r="13" spans="1:16" x14ac:dyDescent="0.2">
      <c r="A13" t="s">
        <v>4</v>
      </c>
      <c r="B13" s="1">
        <v>-7</v>
      </c>
      <c r="C13" s="2">
        <v>2</v>
      </c>
      <c r="D13" s="2">
        <v>3</v>
      </c>
      <c r="E13" s="3">
        <v>1</v>
      </c>
      <c r="I13" s="1">
        <v>-7</v>
      </c>
      <c r="J13" s="2">
        <v>2</v>
      </c>
      <c r="K13" s="2">
        <v>3</v>
      </c>
      <c r="L13" s="3">
        <v>1</v>
      </c>
    </row>
    <row r="14" spans="1:16" x14ac:dyDescent="0.2">
      <c r="B14" s="4">
        <v>6</v>
      </c>
      <c r="C14" s="5">
        <v>0</v>
      </c>
      <c r="D14" s="5">
        <v>-5</v>
      </c>
      <c r="E14" s="6">
        <v>9</v>
      </c>
      <c r="G14" t="s">
        <v>7</v>
      </c>
      <c r="I14" s="4">
        <v>9</v>
      </c>
      <c r="J14" s="5">
        <v>6</v>
      </c>
      <c r="K14" s="5">
        <v>7</v>
      </c>
      <c r="L14" s="6">
        <v>-2</v>
      </c>
    </row>
    <row r="15" spans="1:16" x14ac:dyDescent="0.2">
      <c r="B15" s="4">
        <v>8</v>
      </c>
      <c r="C15" s="5">
        <v>10</v>
      </c>
      <c r="D15" s="5">
        <v>-2</v>
      </c>
      <c r="E15" s="6">
        <v>3</v>
      </c>
      <c r="I15" s="4">
        <v>8</v>
      </c>
      <c r="J15" s="5">
        <v>10</v>
      </c>
      <c r="K15" s="5">
        <v>-2</v>
      </c>
      <c r="L15" s="6">
        <v>3</v>
      </c>
    </row>
    <row r="16" spans="1:16" x14ac:dyDescent="0.2">
      <c r="B16" s="4">
        <v>0</v>
      </c>
      <c r="C16" s="5">
        <v>8</v>
      </c>
      <c r="D16" s="5">
        <v>12</v>
      </c>
      <c r="E16" s="6">
        <v>-3</v>
      </c>
      <c r="I16" s="4">
        <v>0</v>
      </c>
      <c r="J16" s="5">
        <v>8</v>
      </c>
      <c r="K16" s="5">
        <v>12</v>
      </c>
      <c r="L16" s="6">
        <v>-3</v>
      </c>
    </row>
    <row r="17" spans="1:12" x14ac:dyDescent="0.2">
      <c r="B17" s="7">
        <v>9</v>
      </c>
      <c r="C17" s="8">
        <v>6</v>
      </c>
      <c r="D17" s="8">
        <v>7</v>
      </c>
      <c r="E17" s="9">
        <v>-2</v>
      </c>
      <c r="I17" s="7">
        <v>6</v>
      </c>
      <c r="J17" s="8">
        <v>0</v>
      </c>
      <c r="K17" s="8">
        <v>-5</v>
      </c>
      <c r="L17" s="9">
        <v>9</v>
      </c>
    </row>
    <row r="20" spans="1:12" x14ac:dyDescent="0.2">
      <c r="A20" t="s">
        <v>8</v>
      </c>
      <c r="B20" s="1">
        <v>-5</v>
      </c>
      <c r="C20" s="2">
        <v>2</v>
      </c>
      <c r="D20" s="2">
        <v>6</v>
      </c>
      <c r="E20" s="3">
        <v>7</v>
      </c>
      <c r="G20" t="s">
        <v>9</v>
      </c>
      <c r="I20" s="1">
        <v>-5</v>
      </c>
      <c r="J20" s="2">
        <v>2</v>
      </c>
      <c r="K20" s="2">
        <v>6</v>
      </c>
      <c r="L20" s="3">
        <v>7</v>
      </c>
    </row>
    <row r="21" spans="1:12" x14ac:dyDescent="0.2">
      <c r="B21" s="4">
        <v>8</v>
      </c>
      <c r="C21" s="5">
        <v>15</v>
      </c>
      <c r="D21" s="5">
        <v>23</v>
      </c>
      <c r="E21" s="6">
        <v>6</v>
      </c>
      <c r="I21" s="4">
        <v>8</v>
      </c>
      <c r="J21" s="5">
        <v>15</v>
      </c>
      <c r="K21" s="5">
        <v>23</v>
      </c>
      <c r="L21" s="6">
        <v>6</v>
      </c>
    </row>
    <row r="22" spans="1:12" x14ac:dyDescent="0.2">
      <c r="B22" s="7">
        <v>12</v>
      </c>
      <c r="C22" s="8">
        <v>-38</v>
      </c>
      <c r="D22" s="8">
        <v>19</v>
      </c>
      <c r="E22" s="9">
        <v>-73</v>
      </c>
      <c r="I22" s="7">
        <f xml:space="preserve"> B22 - B21 * 813</f>
        <v>-6492</v>
      </c>
      <c r="J22" s="8">
        <f t="shared" ref="J22:L22" si="2" xml:space="preserve"> C22 - C21 * 813</f>
        <v>-12233</v>
      </c>
      <c r="K22" s="8">
        <f t="shared" si="2"/>
        <v>-18680</v>
      </c>
      <c r="L22" s="9">
        <f t="shared" si="2"/>
        <v>-4951</v>
      </c>
    </row>
    <row r="25" spans="1:12" x14ac:dyDescent="0.2">
      <c r="A25" t="s">
        <v>1</v>
      </c>
      <c r="B25" s="1">
        <v>21</v>
      </c>
      <c r="C25" s="2">
        <v>35</v>
      </c>
      <c r="D25" s="2">
        <v>-72</v>
      </c>
      <c r="E25" s="3">
        <v>61</v>
      </c>
      <c r="G25" t="s">
        <v>0</v>
      </c>
      <c r="I25" s="1">
        <v>21</v>
      </c>
      <c r="J25" s="2">
        <v>35</v>
      </c>
      <c r="K25" s="2">
        <v>-72</v>
      </c>
      <c r="L25" s="3">
        <v>61</v>
      </c>
    </row>
    <row r="26" spans="1:12" x14ac:dyDescent="0.2">
      <c r="B26" s="4">
        <v>-13</v>
      </c>
      <c r="C26" s="5">
        <v>-29</v>
      </c>
      <c r="D26" s="5">
        <v>18</v>
      </c>
      <c r="E26" s="6">
        <v>-38</v>
      </c>
      <c r="I26" s="4">
        <f>B27*43 - 95 *B26</f>
        <v>1708</v>
      </c>
      <c r="J26" s="5">
        <f t="shared" ref="J26:L26" si="3">C27*43 - 95 *C26</f>
        <v>4604</v>
      </c>
      <c r="K26" s="5">
        <f t="shared" si="3"/>
        <v>-979</v>
      </c>
      <c r="L26" s="6">
        <f t="shared" si="3"/>
        <v>2535</v>
      </c>
    </row>
    <row r="27" spans="1:12" x14ac:dyDescent="0.2">
      <c r="B27" s="7">
        <v>11</v>
      </c>
      <c r="C27" s="8">
        <v>43</v>
      </c>
      <c r="D27" s="8">
        <v>17</v>
      </c>
      <c r="E27" s="9">
        <v>-25</v>
      </c>
      <c r="I27" s="7">
        <v>11</v>
      </c>
      <c r="J27" s="8">
        <v>43</v>
      </c>
      <c r="K27" s="8">
        <v>17</v>
      </c>
      <c r="L27" s="9">
        <v>-25</v>
      </c>
    </row>
    <row r="30" spans="1:12" x14ac:dyDescent="0.2">
      <c r="A30" t="s">
        <v>10</v>
      </c>
      <c r="B30" s="1">
        <v>-45</v>
      </c>
      <c r="C30" s="2">
        <v>21</v>
      </c>
      <c r="D30" s="2">
        <v>15</v>
      </c>
      <c r="E30" s="3">
        <v>-43</v>
      </c>
      <c r="G30" t="s">
        <v>11</v>
      </c>
      <c r="I30" s="1">
        <f>3*B31 - 2 * B30 + B32</f>
        <v>168</v>
      </c>
      <c r="J30" s="2">
        <f t="shared" ref="J30:L30" si="4">3*C31 - 2 * C30 + C32</f>
        <v>-233</v>
      </c>
      <c r="K30" s="2">
        <f t="shared" si="4"/>
        <v>-93</v>
      </c>
      <c r="L30" s="3">
        <f t="shared" si="4"/>
        <v>186</v>
      </c>
    </row>
    <row r="31" spans="1:12" x14ac:dyDescent="0.2">
      <c r="B31" s="4">
        <v>18</v>
      </c>
      <c r="C31" s="5">
        <v>-81</v>
      </c>
      <c r="D31" s="5">
        <v>-26</v>
      </c>
      <c r="E31" s="6">
        <v>17</v>
      </c>
      <c r="I31" s="4">
        <v>18</v>
      </c>
      <c r="J31" s="5">
        <v>-81</v>
      </c>
      <c r="K31" s="5">
        <v>-26</v>
      </c>
      <c r="L31" s="6">
        <v>17</v>
      </c>
    </row>
    <row r="32" spans="1:12" x14ac:dyDescent="0.2">
      <c r="B32" s="7">
        <v>24</v>
      </c>
      <c r="C32" s="8">
        <v>52</v>
      </c>
      <c r="D32" s="8">
        <v>15</v>
      </c>
      <c r="E32" s="9">
        <v>49</v>
      </c>
      <c r="I32" s="7">
        <v>24</v>
      </c>
      <c r="J32" s="8">
        <v>52</v>
      </c>
      <c r="K32" s="8">
        <v>15</v>
      </c>
      <c r="L32" s="9">
        <v>49</v>
      </c>
    </row>
    <row r="35" spans="1:12" x14ac:dyDescent="0.2">
      <c r="A35" t="s">
        <v>12</v>
      </c>
      <c r="B35" s="1">
        <v>-45</v>
      </c>
      <c r="C35" s="2">
        <v>21</v>
      </c>
      <c r="D35" s="2">
        <v>15</v>
      </c>
      <c r="E35" s="3">
        <v>-43</v>
      </c>
      <c r="G35" t="s">
        <v>13</v>
      </c>
      <c r="I35" s="1">
        <v>-45</v>
      </c>
      <c r="J35" s="2">
        <v>21</v>
      </c>
      <c r="K35" s="2">
        <v>15</v>
      </c>
      <c r="L35" s="3">
        <v>-43</v>
      </c>
    </row>
    <row r="36" spans="1:12" x14ac:dyDescent="0.2">
      <c r="B36" s="4">
        <v>18</v>
      </c>
      <c r="C36" s="5">
        <v>-81</v>
      </c>
      <c r="D36" s="5">
        <v>-26</v>
      </c>
      <c r="E36" s="6">
        <v>17</v>
      </c>
      <c r="I36" s="4">
        <f>15*B36-23*B37+61*B35</f>
        <v>-3027</v>
      </c>
      <c r="J36" s="5">
        <f t="shared" ref="J36:L36" si="5">15*C36-23*C37+61*C35</f>
        <v>-1130</v>
      </c>
      <c r="K36" s="5">
        <f t="shared" si="5"/>
        <v>180</v>
      </c>
      <c r="L36" s="6">
        <f t="shared" si="5"/>
        <v>-3495</v>
      </c>
    </row>
    <row r="37" spans="1:12" x14ac:dyDescent="0.2">
      <c r="B37" s="7">
        <v>24</v>
      </c>
      <c r="C37" s="8">
        <v>52</v>
      </c>
      <c r="D37" s="8">
        <v>15</v>
      </c>
      <c r="E37" s="9">
        <v>49</v>
      </c>
      <c r="I37" s="7">
        <v>24</v>
      </c>
      <c r="J37" s="8">
        <v>52</v>
      </c>
      <c r="K37" s="8">
        <v>15</v>
      </c>
      <c r="L37" s="9">
        <v>49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2024-10-06T08:47:01Z</dcterms:created>
  <dcterms:modified xsi:type="dcterms:W3CDTF">2024-10-06T10:59:32Z</dcterms:modified>
</cp:coreProperties>
</file>